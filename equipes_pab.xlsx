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 Filho\Desktop\sigabases\sigabases-dashboard\"/>
    </mc:Choice>
  </mc:AlternateContent>
  <xr:revisionPtr revIDLastSave="0" documentId="13_ncr:1_{F6C250F6-A220-4716-A968-CD2BF3C5D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e" sheetId="1" r:id="rId1"/>
    <sheet name="Planilha1" sheetId="2" r:id="rId2"/>
  </sheets>
  <definedNames>
    <definedName name="_xlnm._FilterDatabase" localSheetId="0" hidden="1">equipe!$A$1:$E$70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2" i="1"/>
</calcChain>
</file>

<file path=xl/sharedStrings.xml><?xml version="1.0" encoding="utf-8"?>
<sst xmlns="http://schemas.openxmlformats.org/spreadsheetml/2006/main" count="396" uniqueCount="142">
  <si>
    <t>equipe_id</t>
  </si>
  <si>
    <t>tipo</t>
  </si>
  <si>
    <t>segmento</t>
  </si>
  <si>
    <t>sigla</t>
  </si>
  <si>
    <t>MUNICIPIO</t>
  </si>
  <si>
    <t>PI-BTA-E001M</t>
  </si>
  <si>
    <t>8h TRIO 4x4</t>
  </si>
  <si>
    <t>PLANTÃO</t>
  </si>
  <si>
    <t>BTA</t>
  </si>
  <si>
    <t>Batalha</t>
  </si>
  <si>
    <t>PI-BTA-E002M</t>
  </si>
  <si>
    <t>8h TRIO LEVE</t>
  </si>
  <si>
    <t>PI-BTL-L001M</t>
  </si>
  <si>
    <t>LN MULTI</t>
  </si>
  <si>
    <t>LIGAÇÃO NOVA</t>
  </si>
  <si>
    <t>BTL</t>
  </si>
  <si>
    <t>Buriti dos Lopes</t>
  </si>
  <si>
    <t>PI-BTL-E001M</t>
  </si>
  <si>
    <t>16h 4x4</t>
  </si>
  <si>
    <t>PI-BTL-E001T</t>
  </si>
  <si>
    <t>PI-CET-L001M</t>
  </si>
  <si>
    <t>CET</t>
  </si>
  <si>
    <t>Cocal</t>
  </si>
  <si>
    <t>PI-CET-E001M</t>
  </si>
  <si>
    <t>PI-CET-E001T</t>
  </si>
  <si>
    <t>PI-ETA-C002M</t>
  </si>
  <si>
    <t>CORTE LEVE</t>
  </si>
  <si>
    <t>CORTE E RELIGAÇÃO</t>
  </si>
  <si>
    <t>ETA</t>
  </si>
  <si>
    <t>Esperantina</t>
  </si>
  <si>
    <t>PI-ETA-C003M</t>
  </si>
  <si>
    <t>PI-ETA-C004M</t>
  </si>
  <si>
    <t>PI-ETA-R001M</t>
  </si>
  <si>
    <t>PI-ETA-E002M</t>
  </si>
  <si>
    <t>PI-ETA-C001M</t>
  </si>
  <si>
    <t>CORTE MULTI</t>
  </si>
  <si>
    <t>PI-ETA-E001M</t>
  </si>
  <si>
    <t>16h MINI SKY</t>
  </si>
  <si>
    <t>PI-ETA-E001T</t>
  </si>
  <si>
    <t>PI-ETA-E003M</t>
  </si>
  <si>
    <t>PI-JQP-E001M</t>
  </si>
  <si>
    <t>JQP</t>
  </si>
  <si>
    <t>Joaquim Pires</t>
  </si>
  <si>
    <t>PI-LCO-L001M</t>
  </si>
  <si>
    <t>LCO</t>
  </si>
  <si>
    <t>Luis Correia</t>
  </si>
  <si>
    <t>PI-LCO-E001M</t>
  </si>
  <si>
    <t>PI-LCO-E001T</t>
  </si>
  <si>
    <t>PI-LCO-E003M</t>
  </si>
  <si>
    <t>PI-LCO-R001M</t>
  </si>
  <si>
    <t>RELIGAÇÃO</t>
  </si>
  <si>
    <t>PI-LCO-E002M</t>
  </si>
  <si>
    <t>PI-LCO-E002T</t>
  </si>
  <si>
    <t>PI-LUZ-E001M</t>
  </si>
  <si>
    <t>LUZ</t>
  </si>
  <si>
    <t>Luzilandia</t>
  </si>
  <si>
    <t>PI-LUZ-E001T</t>
  </si>
  <si>
    <t>PI-LUZ-C001M</t>
  </si>
  <si>
    <t>PI-LUZ-E002M</t>
  </si>
  <si>
    <t>PI-MTO-E002M</t>
  </si>
  <si>
    <t>MTO</t>
  </si>
  <si>
    <t>Matias Olimpio</t>
  </si>
  <si>
    <t>PI-MTO-E001M</t>
  </si>
  <si>
    <t>PI-PAB-E004M</t>
  </si>
  <si>
    <t>PAB</t>
  </si>
  <si>
    <t>Parnaiba</t>
  </si>
  <si>
    <t>PI-PAB-E005M</t>
  </si>
  <si>
    <t>PI-PAB-C001M</t>
  </si>
  <si>
    <t>PI-PAB-C002M</t>
  </si>
  <si>
    <t>PI-PAB-H001M</t>
  </si>
  <si>
    <t>PLANTÃO MOTO</t>
  </si>
  <si>
    <t>PI-PAB-H002M</t>
  </si>
  <si>
    <t>PI-PAB-C004M</t>
  </si>
  <si>
    <t>PI-PAB-E002M</t>
  </si>
  <si>
    <t>PI-PAB-E002T</t>
  </si>
  <si>
    <t>PI-PAB-E003M</t>
  </si>
  <si>
    <t>PI-PAB-E003T</t>
  </si>
  <si>
    <t>PI-PAB-E001N</t>
  </si>
  <si>
    <t>PI-PAB-E001T</t>
  </si>
  <si>
    <t>PI-PAB-C005M</t>
  </si>
  <si>
    <t>PI-PAB-C006M</t>
  </si>
  <si>
    <t>PI-PAB-C007M</t>
  </si>
  <si>
    <t>PI-PAB-C008M</t>
  </si>
  <si>
    <t>PI-PAB-C003M</t>
  </si>
  <si>
    <t>PI-PAB-L001M</t>
  </si>
  <si>
    <t>PI-PAB-L002M</t>
  </si>
  <si>
    <t>PI-PCA-E002M</t>
  </si>
  <si>
    <t>PCA</t>
  </si>
  <si>
    <t>Piracuruca</t>
  </si>
  <si>
    <t>PI-PCA-E001M</t>
  </si>
  <si>
    <t>PI-PCA-L001M</t>
  </si>
  <si>
    <t>PI-PDS-E001M</t>
  </si>
  <si>
    <t>PDS</t>
  </si>
  <si>
    <t>Pedro II</t>
  </si>
  <si>
    <t>PI-PDS-E002M</t>
  </si>
  <si>
    <t>PI-PDS-L001M</t>
  </si>
  <si>
    <t>PI-PRI-L001M</t>
  </si>
  <si>
    <t>PRI</t>
  </si>
  <si>
    <t>Piripiri</t>
  </si>
  <si>
    <t>PI-PRI-C002M</t>
  </si>
  <si>
    <t>PI-PRI-C003M</t>
  </si>
  <si>
    <t>PI-PRI-E001M</t>
  </si>
  <si>
    <t>PI-PRI-E001T</t>
  </si>
  <si>
    <t>PI-PRI-E002M</t>
  </si>
  <si>
    <t>PI-PRI-E002T</t>
  </si>
  <si>
    <t>PI-PRI-E003M</t>
  </si>
  <si>
    <t>PI-PRI-E004M</t>
  </si>
  <si>
    <t>PI-PRI-C001M</t>
  </si>
  <si>
    <t>PI-PTO-E001M</t>
  </si>
  <si>
    <t>PTO</t>
  </si>
  <si>
    <t>Porto</t>
  </si>
  <si>
    <t>PI-PTO-E001T</t>
  </si>
  <si>
    <t>latitude</t>
  </si>
  <si>
    <t>longitude</t>
  </si>
  <si>
    <t>-42.07646935834346</t>
  </si>
  <si>
    <t>-4.022571443094604</t>
  </si>
  <si>
    <t>-41.55907978171543</t>
  </si>
  <si>
    <t>-3.467996506132712</t>
  </si>
  <si>
    <t>-42.233432912973164</t>
  </si>
  <si>
    <t>-3.897609384548015</t>
  </si>
  <si>
    <t>-42.194397097051365</t>
  </si>
  <si>
    <t>-3.5082234092981337</t>
  </si>
  <si>
    <t>-41.648483042300306</t>
  </si>
  <si>
    <t>-2.8889375883317214</t>
  </si>
  <si>
    <t>-42.36997957986373</t>
  </si>
  <si>
    <t>-3.4603187889605307</t>
  </si>
  <si>
    <t>-42.55445441361651</t>
  </si>
  <si>
    <t>-3.7154916032680383</t>
  </si>
  <si>
    <t>-41.75232117712896</t>
  </si>
  <si>
    <t>-2.915733819985718</t>
  </si>
  <si>
    <t>-41.708448036799226</t>
  </si>
  <si>
    <t>-3.930814475607244</t>
  </si>
  <si>
    <t>-41.45703883542527</t>
  </si>
  <si>
    <t>-4.429687854297294</t>
  </si>
  <si>
    <t>-41.77943433669102</t>
  </si>
  <si>
    <t>-4.275117630575174</t>
  </si>
  <si>
    <t>-42.713215750972346</t>
  </si>
  <si>
    <t>-3.892779895826809</t>
  </si>
  <si>
    <t>-41.87072731243759</t>
  </si>
  <si>
    <t>-3.175880607942812</t>
  </si>
  <si>
    <t>equipe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</si>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</sst>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B8" sqref="B8"/>
    </sheetView>
  </sheetViews>
  <sheetFormatPr defaultRowHeight="14.4" x14ac:dyDescent="0.3"/>
  <cols>
    <col min="1" max="1" width="13.6640625" bestFit="1" customWidth="1"/>
    <col min="2" max="2" width="14.6640625" bestFit="1" customWidth="1"/>
    <col min="3" max="3" width="18.109375" bestFit="1" customWidth="1"/>
    <col min="4" max="4" width="6.77734375" bestFit="1" customWidth="1"/>
    <col min="5" max="5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140</v>
      </c>
      <c r="G1" s="1" t="s">
        <v>141</v>
      </c>
      <c r="H1" s="1" t="s">
        <v>112</v>
      </c>
      <c r="I1" s="1" t="s">
        <v>113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>
        <f>LEFT(A2,11)</f>
        <v>PI-BTA-E001</v>
      </c>
      <c r="G2">
        <f>1/COUNTIFS(F:F,F2)</f>
        <v>1</v>
      </c>
      <c r="H2" t="str">
        <f>_xlfn.XLOOKUP($E2,Planilha1!$A:$A,Planilha1!B:B)</f>
        <v>-4.022571443094604</v>
      </c>
      <c r="I2" t="str">
        <f>_xlfn.XLOOKUP($E2,Planilha1!$A:$A,Planilha1!C:C)</f>
        <v>-42.07646935834346</v>
      </c>
    </row>
    <row r="3" spans="1:9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  <c r="F3" t="str">
        <f t="shared" ref="F3:F66" si="0">LEFT(A3,11)</f>
        <v>PI-BTA-E002</v>
      </c>
      <c r="G3">
        <f t="shared" ref="G3:G66" si="1">1/COUNTIFS(F:F,F3)</f>
        <v>1</v>
      </c>
      <c r="H3" t="str">
        <f>_xlfn.XLOOKUP($E3,Planilha1!$A:$A,Planilha1!B:B)</f>
        <v>-4.022571443094604</v>
      </c>
      <c r="I3" t="str">
        <f>_xlfn.XLOOKUP($E3,Planilha1!$A:$A,Planilha1!C:C)</f>
        <v>-42.07646935834346</v>
      </c>
    </row>
    <row r="4" spans="1:9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tr">
        <f t="shared" si="0"/>
        <v>PI-BTL-L001</v>
      </c>
      <c r="G4">
        <f t="shared" si="1"/>
        <v>1</v>
      </c>
      <c r="H4" t="str">
        <f>_xlfn.XLOOKUP($E4,Planilha1!$A:$A,Planilha1!B:B)</f>
        <v>-3.175880607942812</v>
      </c>
      <c r="I4" t="str">
        <f>_xlfn.XLOOKUP($E4,Planilha1!$A:$A,Planilha1!C:C)</f>
        <v>-41.87072731243759</v>
      </c>
    </row>
    <row r="5" spans="1:9" x14ac:dyDescent="0.3">
      <c r="A5" t="s">
        <v>17</v>
      </c>
      <c r="B5" t="s">
        <v>18</v>
      </c>
      <c r="C5" t="s">
        <v>7</v>
      </c>
      <c r="D5" t="s">
        <v>15</v>
      </c>
      <c r="E5" t="s">
        <v>16</v>
      </c>
      <c r="F5" t="str">
        <f t="shared" si="0"/>
        <v>PI-BTL-E001</v>
      </c>
      <c r="G5">
        <f t="shared" si="1"/>
        <v>0.5</v>
      </c>
      <c r="H5" t="str">
        <f>_xlfn.XLOOKUP($E5,Planilha1!$A:$A,Planilha1!B:B)</f>
        <v>-3.175880607942812</v>
      </c>
      <c r="I5" t="str">
        <f>_xlfn.XLOOKUP($E5,Planilha1!$A:$A,Planilha1!C:C)</f>
        <v>-41.87072731243759</v>
      </c>
    </row>
    <row r="6" spans="1:9" x14ac:dyDescent="0.3">
      <c r="A6" t="s">
        <v>19</v>
      </c>
      <c r="B6" t="s">
        <v>18</v>
      </c>
      <c r="C6" t="s">
        <v>7</v>
      </c>
      <c r="D6" t="s">
        <v>15</v>
      </c>
      <c r="E6" t="s">
        <v>16</v>
      </c>
      <c r="F6" t="str">
        <f t="shared" si="0"/>
        <v>PI-BTL-E001</v>
      </c>
      <c r="G6">
        <f t="shared" si="1"/>
        <v>0.5</v>
      </c>
      <c r="H6" t="str">
        <f>_xlfn.XLOOKUP($E6,Planilha1!$A:$A,Planilha1!B:B)</f>
        <v>-3.175880607942812</v>
      </c>
      <c r="I6" t="str">
        <f>_xlfn.XLOOKUP($E6,Planilha1!$A:$A,Planilha1!C:C)</f>
        <v>-41.87072731243759</v>
      </c>
    </row>
    <row r="7" spans="1:9" x14ac:dyDescent="0.3">
      <c r="A7" t="s">
        <v>20</v>
      </c>
      <c r="B7" t="s">
        <v>13</v>
      </c>
      <c r="C7" t="s">
        <v>14</v>
      </c>
      <c r="D7" t="s">
        <v>21</v>
      </c>
      <c r="E7" t="s">
        <v>22</v>
      </c>
      <c r="F7" t="str">
        <f t="shared" si="0"/>
        <v>PI-CET-L001</v>
      </c>
      <c r="G7">
        <f t="shared" si="1"/>
        <v>1</v>
      </c>
      <c r="H7" t="str">
        <f>_xlfn.XLOOKUP($E7,Planilha1!$A:$A,Planilha1!B:B)</f>
        <v>-3.467996506132712</v>
      </c>
      <c r="I7" t="str">
        <f>_xlfn.XLOOKUP($E7,Planilha1!$A:$A,Planilha1!C:C)</f>
        <v>-41.55907978171543</v>
      </c>
    </row>
    <row r="8" spans="1:9" x14ac:dyDescent="0.3">
      <c r="A8" t="s">
        <v>23</v>
      </c>
      <c r="B8" s="1" t="s">
        <v>18</v>
      </c>
      <c r="C8" t="s">
        <v>7</v>
      </c>
      <c r="D8" t="s">
        <v>21</v>
      </c>
      <c r="E8" t="s">
        <v>22</v>
      </c>
      <c r="F8" t="str">
        <f t="shared" si="0"/>
        <v>PI-CET-E001</v>
      </c>
      <c r="G8">
        <f t="shared" si="1"/>
        <v>0.5</v>
      </c>
      <c r="H8" t="str">
        <f>_xlfn.XLOOKUP($E8,Planilha1!$A:$A,Planilha1!B:B)</f>
        <v>-3.467996506132712</v>
      </c>
      <c r="I8" t="str">
        <f>_xlfn.XLOOKUP($E8,Planilha1!$A:$A,Planilha1!C:C)</f>
        <v>-41.55907978171543</v>
      </c>
    </row>
    <row r="9" spans="1:9" x14ac:dyDescent="0.3">
      <c r="A9" t="s">
        <v>24</v>
      </c>
      <c r="B9" t="s">
        <v>18</v>
      </c>
      <c r="C9" t="s">
        <v>7</v>
      </c>
      <c r="D9" t="s">
        <v>21</v>
      </c>
      <c r="E9" t="s">
        <v>22</v>
      </c>
      <c r="F9" t="str">
        <f t="shared" si="0"/>
        <v>PI-CET-E001</v>
      </c>
      <c r="G9">
        <f t="shared" si="1"/>
        <v>0.5</v>
      </c>
      <c r="H9" t="str">
        <f>_xlfn.XLOOKUP($E9,Planilha1!$A:$A,Planilha1!B:B)</f>
        <v>-3.467996506132712</v>
      </c>
      <c r="I9" t="str">
        <f>_xlfn.XLOOKUP($E9,Planilha1!$A:$A,Planilha1!C:C)</f>
        <v>-41.55907978171543</v>
      </c>
    </row>
    <row r="10" spans="1:9" x14ac:dyDescent="0.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tr">
        <f t="shared" si="0"/>
        <v>PI-ETA-C002</v>
      </c>
      <c r="G10">
        <f t="shared" si="1"/>
        <v>1</v>
      </c>
      <c r="H10" t="str">
        <f>_xlfn.XLOOKUP($E10,Planilha1!$A:$A,Planilha1!B:B)</f>
        <v>-3.897609384548015</v>
      </c>
      <c r="I10" t="str">
        <f>_xlfn.XLOOKUP($E10,Planilha1!$A:$A,Planilha1!C:C)</f>
        <v>-42.233432912973164</v>
      </c>
    </row>
    <row r="11" spans="1:9" x14ac:dyDescent="0.3">
      <c r="A11" t="s">
        <v>30</v>
      </c>
      <c r="B11" t="s">
        <v>26</v>
      </c>
      <c r="C11" t="s">
        <v>27</v>
      </c>
      <c r="D11" t="s">
        <v>28</v>
      </c>
      <c r="E11" t="s">
        <v>29</v>
      </c>
      <c r="F11" t="str">
        <f t="shared" si="0"/>
        <v>PI-ETA-C003</v>
      </c>
      <c r="G11">
        <f t="shared" si="1"/>
        <v>1</v>
      </c>
      <c r="H11" t="str">
        <f>_xlfn.XLOOKUP($E11,Planilha1!$A:$A,Planilha1!B:B)</f>
        <v>-3.897609384548015</v>
      </c>
      <c r="I11" t="str">
        <f>_xlfn.XLOOKUP($E11,Planilha1!$A:$A,Planilha1!C:C)</f>
        <v>-42.233432912973164</v>
      </c>
    </row>
    <row r="12" spans="1:9" x14ac:dyDescent="0.3">
      <c r="A12" t="s">
        <v>31</v>
      </c>
      <c r="B12" t="s">
        <v>26</v>
      </c>
      <c r="C12" t="s">
        <v>27</v>
      </c>
      <c r="D12" t="s">
        <v>28</v>
      </c>
      <c r="E12" t="s">
        <v>29</v>
      </c>
      <c r="F12" t="str">
        <f t="shared" si="0"/>
        <v>PI-ETA-C004</v>
      </c>
      <c r="G12">
        <f t="shared" si="1"/>
        <v>1</v>
      </c>
      <c r="H12" t="str">
        <f>_xlfn.XLOOKUP($E12,Planilha1!$A:$A,Planilha1!B:B)</f>
        <v>-3.897609384548015</v>
      </c>
      <c r="I12" t="str">
        <f>_xlfn.XLOOKUP($E12,Planilha1!$A:$A,Planilha1!C:C)</f>
        <v>-42.233432912973164</v>
      </c>
    </row>
    <row r="13" spans="1:9" x14ac:dyDescent="0.3">
      <c r="A13" t="s">
        <v>32</v>
      </c>
      <c r="B13" t="s">
        <v>26</v>
      </c>
      <c r="C13" t="s">
        <v>27</v>
      </c>
      <c r="D13" t="s">
        <v>28</v>
      </c>
      <c r="E13" t="s">
        <v>29</v>
      </c>
      <c r="F13" t="str">
        <f t="shared" si="0"/>
        <v>PI-ETA-R001</v>
      </c>
      <c r="G13">
        <f t="shared" si="1"/>
        <v>1</v>
      </c>
      <c r="H13" t="str">
        <f>_xlfn.XLOOKUP($E13,Planilha1!$A:$A,Planilha1!B:B)</f>
        <v>-3.897609384548015</v>
      </c>
      <c r="I13" t="str">
        <f>_xlfn.XLOOKUP($E13,Planilha1!$A:$A,Planilha1!C:C)</f>
        <v>-42.233432912973164</v>
      </c>
    </row>
    <row r="14" spans="1:9" x14ac:dyDescent="0.3">
      <c r="A14" t="s">
        <v>33</v>
      </c>
      <c r="B14" t="s">
        <v>11</v>
      </c>
      <c r="C14" t="s">
        <v>7</v>
      </c>
      <c r="D14" t="s">
        <v>28</v>
      </c>
      <c r="E14" t="s">
        <v>29</v>
      </c>
      <c r="F14" t="str">
        <f t="shared" si="0"/>
        <v>PI-ETA-E002</v>
      </c>
      <c r="G14">
        <f t="shared" si="1"/>
        <v>1</v>
      </c>
      <c r="H14" t="str">
        <f>_xlfn.XLOOKUP($E14,Planilha1!$A:$A,Planilha1!B:B)</f>
        <v>-3.897609384548015</v>
      </c>
      <c r="I14" t="str">
        <f>_xlfn.XLOOKUP($E14,Planilha1!$A:$A,Planilha1!C:C)</f>
        <v>-42.233432912973164</v>
      </c>
    </row>
    <row r="15" spans="1:9" x14ac:dyDescent="0.3">
      <c r="A15" t="s">
        <v>34</v>
      </c>
      <c r="B15" t="s">
        <v>35</v>
      </c>
      <c r="C15" t="s">
        <v>27</v>
      </c>
      <c r="D15" t="s">
        <v>28</v>
      </c>
      <c r="E15" t="s">
        <v>29</v>
      </c>
      <c r="F15" t="str">
        <f t="shared" si="0"/>
        <v>PI-ETA-C001</v>
      </c>
      <c r="G15">
        <f t="shared" si="1"/>
        <v>1</v>
      </c>
      <c r="H15" t="str">
        <f>_xlfn.XLOOKUP($E15,Planilha1!$A:$A,Planilha1!B:B)</f>
        <v>-3.897609384548015</v>
      </c>
      <c r="I15" t="str">
        <f>_xlfn.XLOOKUP($E15,Planilha1!$A:$A,Planilha1!C:C)</f>
        <v>-42.233432912973164</v>
      </c>
    </row>
    <row r="16" spans="1:9" x14ac:dyDescent="0.3">
      <c r="A16" t="s">
        <v>36</v>
      </c>
      <c r="B16" t="s">
        <v>37</v>
      </c>
      <c r="C16" t="s">
        <v>7</v>
      </c>
      <c r="D16" t="s">
        <v>28</v>
      </c>
      <c r="E16" t="s">
        <v>29</v>
      </c>
      <c r="F16" t="str">
        <f t="shared" si="0"/>
        <v>PI-ETA-E001</v>
      </c>
      <c r="G16">
        <f t="shared" si="1"/>
        <v>0.5</v>
      </c>
      <c r="H16" t="str">
        <f>_xlfn.XLOOKUP($E16,Planilha1!$A:$A,Planilha1!B:B)</f>
        <v>-3.897609384548015</v>
      </c>
      <c r="I16" t="str">
        <f>_xlfn.XLOOKUP($E16,Planilha1!$A:$A,Planilha1!C:C)</f>
        <v>-42.233432912973164</v>
      </c>
    </row>
    <row r="17" spans="1:9" x14ac:dyDescent="0.3">
      <c r="A17" t="s">
        <v>38</v>
      </c>
      <c r="B17" t="s">
        <v>37</v>
      </c>
      <c r="C17" t="s">
        <v>7</v>
      </c>
      <c r="D17" t="s">
        <v>28</v>
      </c>
      <c r="E17" t="s">
        <v>29</v>
      </c>
      <c r="F17" t="str">
        <f t="shared" si="0"/>
        <v>PI-ETA-E001</v>
      </c>
      <c r="G17">
        <f t="shared" si="1"/>
        <v>0.5</v>
      </c>
      <c r="H17" t="str">
        <f>_xlfn.XLOOKUP($E17,Planilha1!$A:$A,Planilha1!B:B)</f>
        <v>-3.897609384548015</v>
      </c>
      <c r="I17" t="str">
        <f>_xlfn.XLOOKUP($E17,Planilha1!$A:$A,Planilha1!C:C)</f>
        <v>-42.233432912973164</v>
      </c>
    </row>
    <row r="18" spans="1:9" x14ac:dyDescent="0.3">
      <c r="A18" t="s">
        <v>39</v>
      </c>
      <c r="B18" t="s">
        <v>6</v>
      </c>
      <c r="C18" t="s">
        <v>7</v>
      </c>
      <c r="D18" t="s">
        <v>28</v>
      </c>
      <c r="E18" t="s">
        <v>29</v>
      </c>
      <c r="F18" t="str">
        <f t="shared" si="0"/>
        <v>PI-ETA-E003</v>
      </c>
      <c r="G18">
        <f t="shared" si="1"/>
        <v>1</v>
      </c>
      <c r="H18" t="str">
        <f>_xlfn.XLOOKUP($E18,Planilha1!$A:$A,Planilha1!B:B)</f>
        <v>-3.897609384548015</v>
      </c>
      <c r="I18" t="str">
        <f>_xlfn.XLOOKUP($E18,Planilha1!$A:$A,Planilha1!C:C)</f>
        <v>-42.233432912973164</v>
      </c>
    </row>
    <row r="19" spans="1:9" x14ac:dyDescent="0.3">
      <c r="A19" t="s">
        <v>40</v>
      </c>
      <c r="B19" t="s">
        <v>6</v>
      </c>
      <c r="C19" t="s">
        <v>7</v>
      </c>
      <c r="D19" t="s">
        <v>41</v>
      </c>
      <c r="E19" t="s">
        <v>42</v>
      </c>
      <c r="F19" t="str">
        <f t="shared" si="0"/>
        <v>PI-JQP-E001</v>
      </c>
      <c r="G19">
        <f t="shared" si="1"/>
        <v>1</v>
      </c>
      <c r="H19" t="str">
        <f>_xlfn.XLOOKUP($E19,Planilha1!$A:$A,Planilha1!B:B)</f>
        <v>-3.5082234092981337</v>
      </c>
      <c r="I19" t="str">
        <f>_xlfn.XLOOKUP($E19,Planilha1!$A:$A,Planilha1!C:C)</f>
        <v>-42.194397097051365</v>
      </c>
    </row>
    <row r="20" spans="1:9" x14ac:dyDescent="0.3">
      <c r="A20" t="s">
        <v>43</v>
      </c>
      <c r="B20" t="s">
        <v>13</v>
      </c>
      <c r="C20" t="s">
        <v>14</v>
      </c>
      <c r="D20" t="s">
        <v>44</v>
      </c>
      <c r="E20" t="s">
        <v>45</v>
      </c>
      <c r="F20" t="str">
        <f t="shared" si="0"/>
        <v>PI-LCO-L001</v>
      </c>
      <c r="G20">
        <f t="shared" si="1"/>
        <v>1</v>
      </c>
      <c r="H20" t="str">
        <f>_xlfn.XLOOKUP($E20,Planilha1!$A:$A,Planilha1!B:B)</f>
        <v>-2.8889375883317214</v>
      </c>
      <c r="I20" t="str">
        <f>_xlfn.XLOOKUP($E20,Planilha1!$A:$A,Planilha1!C:C)</f>
        <v>-41.648483042300306</v>
      </c>
    </row>
    <row r="21" spans="1:9" x14ac:dyDescent="0.3">
      <c r="A21" t="s">
        <v>46</v>
      </c>
      <c r="B21" t="s">
        <v>37</v>
      </c>
      <c r="C21" t="s">
        <v>7</v>
      </c>
      <c r="D21" t="s">
        <v>44</v>
      </c>
      <c r="E21" t="s">
        <v>45</v>
      </c>
      <c r="F21" t="str">
        <f t="shared" si="0"/>
        <v>PI-LCO-E001</v>
      </c>
      <c r="G21">
        <f t="shared" si="1"/>
        <v>0.5</v>
      </c>
      <c r="H21" t="str">
        <f>_xlfn.XLOOKUP($E21,Planilha1!$A:$A,Planilha1!B:B)</f>
        <v>-2.8889375883317214</v>
      </c>
      <c r="I21" t="str">
        <f>_xlfn.XLOOKUP($E21,Planilha1!$A:$A,Planilha1!C:C)</f>
        <v>-41.648483042300306</v>
      </c>
    </row>
    <row r="22" spans="1:9" x14ac:dyDescent="0.3">
      <c r="A22" t="s">
        <v>47</v>
      </c>
      <c r="B22" t="s">
        <v>37</v>
      </c>
      <c r="C22" t="s">
        <v>7</v>
      </c>
      <c r="D22" t="s">
        <v>44</v>
      </c>
      <c r="E22" t="s">
        <v>45</v>
      </c>
      <c r="F22" t="str">
        <f t="shared" si="0"/>
        <v>PI-LCO-E001</v>
      </c>
      <c r="G22">
        <f t="shared" si="1"/>
        <v>0.5</v>
      </c>
      <c r="H22" t="str">
        <f>_xlfn.XLOOKUP($E22,Planilha1!$A:$A,Planilha1!B:B)</f>
        <v>-2.8889375883317214</v>
      </c>
      <c r="I22" t="str">
        <f>_xlfn.XLOOKUP($E22,Planilha1!$A:$A,Planilha1!C:C)</f>
        <v>-41.648483042300306</v>
      </c>
    </row>
    <row r="23" spans="1:9" x14ac:dyDescent="0.3">
      <c r="A23" t="s">
        <v>48</v>
      </c>
      <c r="B23" t="s">
        <v>11</v>
      </c>
      <c r="C23" t="s">
        <v>7</v>
      </c>
      <c r="D23" t="s">
        <v>44</v>
      </c>
      <c r="E23" t="s">
        <v>45</v>
      </c>
      <c r="F23" t="str">
        <f t="shared" si="0"/>
        <v>PI-LCO-E003</v>
      </c>
      <c r="G23">
        <f t="shared" si="1"/>
        <v>1</v>
      </c>
      <c r="H23" t="str">
        <f>_xlfn.XLOOKUP($E23,Planilha1!$A:$A,Planilha1!B:B)</f>
        <v>-2.8889375883317214</v>
      </c>
      <c r="I23" t="str">
        <f>_xlfn.XLOOKUP($E23,Planilha1!$A:$A,Planilha1!C:C)</f>
        <v>-41.648483042300306</v>
      </c>
    </row>
    <row r="24" spans="1:9" x14ac:dyDescent="0.3">
      <c r="A24" t="s">
        <v>49</v>
      </c>
      <c r="B24" t="s">
        <v>50</v>
      </c>
      <c r="C24" t="s">
        <v>27</v>
      </c>
      <c r="D24" t="s">
        <v>44</v>
      </c>
      <c r="E24" t="s">
        <v>45</v>
      </c>
      <c r="F24" t="str">
        <f t="shared" si="0"/>
        <v>PI-LCO-R001</v>
      </c>
      <c r="G24">
        <f t="shared" si="1"/>
        <v>1</v>
      </c>
      <c r="H24" t="str">
        <f>_xlfn.XLOOKUP($E24,Planilha1!$A:$A,Planilha1!B:B)</f>
        <v>-2.8889375883317214</v>
      </c>
      <c r="I24" t="str">
        <f>_xlfn.XLOOKUP($E24,Planilha1!$A:$A,Planilha1!C:C)</f>
        <v>-41.648483042300306</v>
      </c>
    </row>
    <row r="25" spans="1:9" x14ac:dyDescent="0.3">
      <c r="A25" t="s">
        <v>51</v>
      </c>
      <c r="B25" t="s">
        <v>18</v>
      </c>
      <c r="C25" t="s">
        <v>7</v>
      </c>
      <c r="D25" t="s">
        <v>44</v>
      </c>
      <c r="E25" t="s">
        <v>45</v>
      </c>
      <c r="F25" t="str">
        <f t="shared" si="0"/>
        <v>PI-LCO-E002</v>
      </c>
      <c r="G25">
        <f t="shared" si="1"/>
        <v>0.5</v>
      </c>
      <c r="H25" t="str">
        <f>_xlfn.XLOOKUP($E25,Planilha1!$A:$A,Planilha1!B:B)</f>
        <v>-2.8889375883317214</v>
      </c>
      <c r="I25" t="str">
        <f>_xlfn.XLOOKUP($E25,Planilha1!$A:$A,Planilha1!C:C)</f>
        <v>-41.648483042300306</v>
      </c>
    </row>
    <row r="26" spans="1:9" x14ac:dyDescent="0.3">
      <c r="A26" t="s">
        <v>52</v>
      </c>
      <c r="B26" t="s">
        <v>18</v>
      </c>
      <c r="C26" t="s">
        <v>7</v>
      </c>
      <c r="D26" t="s">
        <v>44</v>
      </c>
      <c r="E26" t="s">
        <v>45</v>
      </c>
      <c r="F26" t="str">
        <f t="shared" si="0"/>
        <v>PI-LCO-E002</v>
      </c>
      <c r="G26">
        <f t="shared" si="1"/>
        <v>0.5</v>
      </c>
      <c r="H26" t="str">
        <f>_xlfn.XLOOKUP($E26,Planilha1!$A:$A,Planilha1!B:B)</f>
        <v>-2.8889375883317214</v>
      </c>
      <c r="I26" t="str">
        <f>_xlfn.XLOOKUP($E26,Planilha1!$A:$A,Planilha1!C:C)</f>
        <v>-41.648483042300306</v>
      </c>
    </row>
    <row r="27" spans="1:9" x14ac:dyDescent="0.3">
      <c r="A27" t="s">
        <v>53</v>
      </c>
      <c r="B27" t="s">
        <v>18</v>
      </c>
      <c r="C27" t="s">
        <v>7</v>
      </c>
      <c r="D27" t="s">
        <v>54</v>
      </c>
      <c r="E27" t="s">
        <v>55</v>
      </c>
      <c r="F27" t="str">
        <f t="shared" si="0"/>
        <v>PI-LUZ-E001</v>
      </c>
      <c r="G27">
        <f t="shared" si="1"/>
        <v>0.5</v>
      </c>
      <c r="H27" t="str">
        <f>_xlfn.XLOOKUP($E27,Planilha1!$A:$A,Planilha1!B:B)</f>
        <v>-3.4603187889605307</v>
      </c>
      <c r="I27" t="str">
        <f>_xlfn.XLOOKUP($E27,Planilha1!$A:$A,Planilha1!C:C)</f>
        <v>-42.36997957986373</v>
      </c>
    </row>
    <row r="28" spans="1:9" x14ac:dyDescent="0.3">
      <c r="A28" t="s">
        <v>56</v>
      </c>
      <c r="B28" t="s">
        <v>18</v>
      </c>
      <c r="C28" t="s">
        <v>7</v>
      </c>
      <c r="D28" t="s">
        <v>54</v>
      </c>
      <c r="E28" t="s">
        <v>55</v>
      </c>
      <c r="F28" t="str">
        <f t="shared" si="0"/>
        <v>PI-LUZ-E001</v>
      </c>
      <c r="G28">
        <f t="shared" si="1"/>
        <v>0.5</v>
      </c>
      <c r="H28" t="str">
        <f>_xlfn.XLOOKUP($E28,Planilha1!$A:$A,Planilha1!B:B)</f>
        <v>-3.4603187889605307</v>
      </c>
      <c r="I28" t="str">
        <f>_xlfn.XLOOKUP($E28,Planilha1!$A:$A,Planilha1!C:C)</f>
        <v>-42.36997957986373</v>
      </c>
    </row>
    <row r="29" spans="1:9" x14ac:dyDescent="0.3">
      <c r="A29" t="s">
        <v>57</v>
      </c>
      <c r="B29" t="s">
        <v>35</v>
      </c>
      <c r="C29" t="s">
        <v>27</v>
      </c>
      <c r="D29" t="s">
        <v>54</v>
      </c>
      <c r="E29" t="s">
        <v>55</v>
      </c>
      <c r="F29" t="str">
        <f t="shared" si="0"/>
        <v>PI-LUZ-C001</v>
      </c>
      <c r="G29">
        <f t="shared" si="1"/>
        <v>1</v>
      </c>
      <c r="H29" t="str">
        <f>_xlfn.XLOOKUP($E29,Planilha1!$A:$A,Planilha1!B:B)</f>
        <v>-3.4603187889605307</v>
      </c>
      <c r="I29" t="str">
        <f>_xlfn.XLOOKUP($E29,Planilha1!$A:$A,Planilha1!C:C)</f>
        <v>-42.36997957986373</v>
      </c>
    </row>
    <row r="30" spans="1:9" x14ac:dyDescent="0.3">
      <c r="A30" t="s">
        <v>58</v>
      </c>
      <c r="B30" t="s">
        <v>11</v>
      </c>
      <c r="C30" t="s">
        <v>7</v>
      </c>
      <c r="D30" t="s">
        <v>54</v>
      </c>
      <c r="E30" t="s">
        <v>55</v>
      </c>
      <c r="F30" t="str">
        <f t="shared" si="0"/>
        <v>PI-LUZ-E002</v>
      </c>
      <c r="G30">
        <f t="shared" si="1"/>
        <v>1</v>
      </c>
      <c r="H30" t="str">
        <f>_xlfn.XLOOKUP($E30,Planilha1!$A:$A,Planilha1!B:B)</f>
        <v>-3.4603187889605307</v>
      </c>
      <c r="I30" t="str">
        <f>_xlfn.XLOOKUP($E30,Planilha1!$A:$A,Planilha1!C:C)</f>
        <v>-42.36997957986373</v>
      </c>
    </row>
    <row r="31" spans="1:9" x14ac:dyDescent="0.3">
      <c r="A31" t="s">
        <v>59</v>
      </c>
      <c r="B31" t="s">
        <v>11</v>
      </c>
      <c r="C31" t="s">
        <v>7</v>
      </c>
      <c r="D31" t="s">
        <v>60</v>
      </c>
      <c r="E31" t="s">
        <v>61</v>
      </c>
      <c r="F31" t="str">
        <f t="shared" si="0"/>
        <v>PI-MTO-E002</v>
      </c>
      <c r="G31">
        <f t="shared" si="1"/>
        <v>1</v>
      </c>
      <c r="H31" t="str">
        <f>_xlfn.XLOOKUP($E31,Planilha1!$A:$A,Planilha1!B:B)</f>
        <v>-3.7154916032680383</v>
      </c>
      <c r="I31" t="str">
        <f>_xlfn.XLOOKUP($E31,Planilha1!$A:$A,Planilha1!C:C)</f>
        <v>-42.55445441361651</v>
      </c>
    </row>
    <row r="32" spans="1:9" x14ac:dyDescent="0.3">
      <c r="A32" t="s">
        <v>62</v>
      </c>
      <c r="B32" t="s">
        <v>6</v>
      </c>
      <c r="C32" t="s">
        <v>7</v>
      </c>
      <c r="D32" t="s">
        <v>60</v>
      </c>
      <c r="E32" t="s">
        <v>61</v>
      </c>
      <c r="F32" t="str">
        <f t="shared" si="0"/>
        <v>PI-MTO-E001</v>
      </c>
      <c r="G32">
        <f t="shared" si="1"/>
        <v>1</v>
      </c>
      <c r="H32" t="str">
        <f>_xlfn.XLOOKUP($E32,Planilha1!$A:$A,Planilha1!B:B)</f>
        <v>-3.7154916032680383</v>
      </c>
      <c r="I32" t="str">
        <f>_xlfn.XLOOKUP($E32,Planilha1!$A:$A,Planilha1!C:C)</f>
        <v>-42.55445441361651</v>
      </c>
    </row>
    <row r="33" spans="1:9" x14ac:dyDescent="0.3">
      <c r="A33" t="s">
        <v>63</v>
      </c>
      <c r="B33" t="s">
        <v>11</v>
      </c>
      <c r="C33" t="s">
        <v>7</v>
      </c>
      <c r="D33" t="s">
        <v>64</v>
      </c>
      <c r="E33" t="s">
        <v>65</v>
      </c>
      <c r="F33" t="str">
        <f t="shared" si="0"/>
        <v>PI-PAB-E004</v>
      </c>
      <c r="G33">
        <f t="shared" si="1"/>
        <v>1</v>
      </c>
      <c r="H33" t="str">
        <f>_xlfn.XLOOKUP($E33,Planilha1!$A:$A,Planilha1!B:B)</f>
        <v>-2.915733819985718</v>
      </c>
      <c r="I33" t="str">
        <f>_xlfn.XLOOKUP($E33,Planilha1!$A:$A,Planilha1!C:C)</f>
        <v>-41.75232117712896</v>
      </c>
    </row>
    <row r="34" spans="1:9" x14ac:dyDescent="0.3">
      <c r="A34" t="s">
        <v>66</v>
      </c>
      <c r="B34" t="s">
        <v>11</v>
      </c>
      <c r="C34" t="s">
        <v>7</v>
      </c>
      <c r="D34" t="s">
        <v>64</v>
      </c>
      <c r="E34" t="s">
        <v>65</v>
      </c>
      <c r="F34" t="str">
        <f t="shared" si="0"/>
        <v>PI-PAB-E005</v>
      </c>
      <c r="G34">
        <f t="shared" si="1"/>
        <v>1</v>
      </c>
      <c r="H34" t="str">
        <f>_xlfn.XLOOKUP($E34,Planilha1!$A:$A,Planilha1!B:B)</f>
        <v>-2.915733819985718</v>
      </c>
      <c r="I34" t="str">
        <f>_xlfn.XLOOKUP($E34,Planilha1!$A:$A,Planilha1!C:C)</f>
        <v>-41.75232117712896</v>
      </c>
    </row>
    <row r="35" spans="1:9" x14ac:dyDescent="0.3">
      <c r="A35" t="s">
        <v>67</v>
      </c>
      <c r="B35" t="s">
        <v>35</v>
      </c>
      <c r="C35" t="s">
        <v>27</v>
      </c>
      <c r="D35" t="s">
        <v>64</v>
      </c>
      <c r="E35" t="s">
        <v>65</v>
      </c>
      <c r="F35" t="str">
        <f t="shared" si="0"/>
        <v>PI-PAB-C001</v>
      </c>
      <c r="G35">
        <f t="shared" si="1"/>
        <v>1</v>
      </c>
      <c r="H35" t="str">
        <f>_xlfn.XLOOKUP($E35,Planilha1!$A:$A,Planilha1!B:B)</f>
        <v>-2.915733819985718</v>
      </c>
      <c r="I35" t="str">
        <f>_xlfn.XLOOKUP($E35,Planilha1!$A:$A,Planilha1!C:C)</f>
        <v>-41.75232117712896</v>
      </c>
    </row>
    <row r="36" spans="1:9" x14ac:dyDescent="0.3">
      <c r="A36" t="s">
        <v>68</v>
      </c>
      <c r="B36" t="s">
        <v>35</v>
      </c>
      <c r="C36" t="s">
        <v>27</v>
      </c>
      <c r="D36" t="s">
        <v>64</v>
      </c>
      <c r="E36" t="s">
        <v>65</v>
      </c>
      <c r="F36" t="str">
        <f t="shared" si="0"/>
        <v>PI-PAB-C002</v>
      </c>
      <c r="G36">
        <f t="shared" si="1"/>
        <v>1</v>
      </c>
      <c r="H36" t="str">
        <f>_xlfn.XLOOKUP($E36,Planilha1!$A:$A,Planilha1!B:B)</f>
        <v>-2.915733819985718</v>
      </c>
      <c r="I36" t="str">
        <f>_xlfn.XLOOKUP($E36,Planilha1!$A:$A,Planilha1!C:C)</f>
        <v>-41.75232117712896</v>
      </c>
    </row>
    <row r="37" spans="1:9" x14ac:dyDescent="0.3">
      <c r="A37" t="s">
        <v>69</v>
      </c>
      <c r="B37" t="s">
        <v>70</v>
      </c>
      <c r="C37" t="s">
        <v>7</v>
      </c>
      <c r="D37" t="s">
        <v>64</v>
      </c>
      <c r="E37" t="s">
        <v>65</v>
      </c>
      <c r="F37" t="str">
        <f t="shared" si="0"/>
        <v>PI-PAB-H001</v>
      </c>
      <c r="G37">
        <f t="shared" si="1"/>
        <v>1</v>
      </c>
      <c r="H37" t="str">
        <f>_xlfn.XLOOKUP($E37,Planilha1!$A:$A,Planilha1!B:B)</f>
        <v>-2.915733819985718</v>
      </c>
      <c r="I37" t="str">
        <f>_xlfn.XLOOKUP($E37,Planilha1!$A:$A,Planilha1!C:C)</f>
        <v>-41.75232117712896</v>
      </c>
    </row>
    <row r="38" spans="1:9" x14ac:dyDescent="0.3">
      <c r="A38" t="s">
        <v>71</v>
      </c>
      <c r="B38" t="s">
        <v>70</v>
      </c>
      <c r="C38" t="s">
        <v>7</v>
      </c>
      <c r="D38" t="s">
        <v>64</v>
      </c>
      <c r="E38" t="s">
        <v>65</v>
      </c>
      <c r="F38" t="str">
        <f t="shared" si="0"/>
        <v>PI-PAB-H002</v>
      </c>
      <c r="G38">
        <f t="shared" si="1"/>
        <v>1</v>
      </c>
      <c r="H38" t="str">
        <f>_xlfn.XLOOKUP($E38,Planilha1!$A:$A,Planilha1!B:B)</f>
        <v>-2.915733819985718</v>
      </c>
      <c r="I38" t="str">
        <f>_xlfn.XLOOKUP($E38,Planilha1!$A:$A,Planilha1!C:C)</f>
        <v>-41.75232117712896</v>
      </c>
    </row>
    <row r="39" spans="1:9" x14ac:dyDescent="0.3">
      <c r="A39" t="s">
        <v>72</v>
      </c>
      <c r="B39" t="s">
        <v>35</v>
      </c>
      <c r="C39" t="s">
        <v>27</v>
      </c>
      <c r="D39" t="s">
        <v>64</v>
      </c>
      <c r="E39" t="s">
        <v>65</v>
      </c>
      <c r="F39" t="str">
        <f t="shared" si="0"/>
        <v>PI-PAB-C004</v>
      </c>
      <c r="G39">
        <f t="shared" si="1"/>
        <v>1</v>
      </c>
      <c r="H39" t="str">
        <f>_xlfn.XLOOKUP($E39,Planilha1!$A:$A,Planilha1!B:B)</f>
        <v>-2.915733819985718</v>
      </c>
      <c r="I39" t="str">
        <f>_xlfn.XLOOKUP($E39,Planilha1!$A:$A,Planilha1!C:C)</f>
        <v>-41.75232117712896</v>
      </c>
    </row>
    <row r="40" spans="1:9" x14ac:dyDescent="0.3">
      <c r="A40" t="s">
        <v>73</v>
      </c>
      <c r="B40" t="s">
        <v>18</v>
      </c>
      <c r="C40" t="s">
        <v>7</v>
      </c>
      <c r="D40" t="s">
        <v>64</v>
      </c>
      <c r="E40" t="s">
        <v>65</v>
      </c>
      <c r="F40" t="str">
        <f t="shared" si="0"/>
        <v>PI-PAB-E002</v>
      </c>
      <c r="G40">
        <f t="shared" si="1"/>
        <v>0.5</v>
      </c>
      <c r="H40" t="str">
        <f>_xlfn.XLOOKUP($E40,Planilha1!$A:$A,Planilha1!B:B)</f>
        <v>-2.915733819985718</v>
      </c>
      <c r="I40" t="str">
        <f>_xlfn.XLOOKUP($E40,Planilha1!$A:$A,Planilha1!C:C)</f>
        <v>-41.75232117712896</v>
      </c>
    </row>
    <row r="41" spans="1:9" x14ac:dyDescent="0.3">
      <c r="A41" t="s">
        <v>74</v>
      </c>
      <c r="B41" t="s">
        <v>18</v>
      </c>
      <c r="C41" t="s">
        <v>7</v>
      </c>
      <c r="D41" t="s">
        <v>64</v>
      </c>
      <c r="E41" t="s">
        <v>65</v>
      </c>
      <c r="F41" t="str">
        <f t="shared" si="0"/>
        <v>PI-PAB-E002</v>
      </c>
      <c r="G41">
        <f t="shared" si="1"/>
        <v>0.5</v>
      </c>
      <c r="H41" t="str">
        <f>_xlfn.XLOOKUP($E41,Planilha1!$A:$A,Planilha1!B:B)</f>
        <v>-2.915733819985718</v>
      </c>
      <c r="I41" t="str">
        <f>_xlfn.XLOOKUP($E41,Planilha1!$A:$A,Planilha1!C:C)</f>
        <v>-41.75232117712896</v>
      </c>
    </row>
    <row r="42" spans="1:9" x14ac:dyDescent="0.3">
      <c r="A42" t="s">
        <v>75</v>
      </c>
      <c r="B42" t="s">
        <v>37</v>
      </c>
      <c r="C42" t="s">
        <v>7</v>
      </c>
      <c r="D42" t="s">
        <v>64</v>
      </c>
      <c r="E42" t="s">
        <v>65</v>
      </c>
      <c r="F42" t="str">
        <f t="shared" si="0"/>
        <v>PI-PAB-E003</v>
      </c>
      <c r="G42">
        <f t="shared" si="1"/>
        <v>0.5</v>
      </c>
      <c r="H42" t="str">
        <f>_xlfn.XLOOKUP($E42,Planilha1!$A:$A,Planilha1!B:B)</f>
        <v>-2.915733819985718</v>
      </c>
      <c r="I42" t="str">
        <f>_xlfn.XLOOKUP($E42,Planilha1!$A:$A,Planilha1!C:C)</f>
        <v>-41.75232117712896</v>
      </c>
    </row>
    <row r="43" spans="1:9" x14ac:dyDescent="0.3">
      <c r="A43" t="s">
        <v>76</v>
      </c>
      <c r="B43" t="s">
        <v>37</v>
      </c>
      <c r="C43" t="s">
        <v>7</v>
      </c>
      <c r="D43" t="s">
        <v>64</v>
      </c>
      <c r="E43" t="s">
        <v>65</v>
      </c>
      <c r="F43" t="str">
        <f t="shared" si="0"/>
        <v>PI-PAB-E003</v>
      </c>
      <c r="G43">
        <f t="shared" si="1"/>
        <v>0.5</v>
      </c>
      <c r="H43" t="str">
        <f>_xlfn.XLOOKUP($E43,Planilha1!$A:$A,Planilha1!B:B)</f>
        <v>-2.915733819985718</v>
      </c>
      <c r="I43" t="str">
        <f>_xlfn.XLOOKUP($E43,Planilha1!$A:$A,Planilha1!C:C)</f>
        <v>-41.75232117712896</v>
      </c>
    </row>
    <row r="44" spans="1:9" x14ac:dyDescent="0.3">
      <c r="A44" t="s">
        <v>77</v>
      </c>
      <c r="B44" t="s">
        <v>37</v>
      </c>
      <c r="C44" t="s">
        <v>7</v>
      </c>
      <c r="D44" t="s">
        <v>64</v>
      </c>
      <c r="E44" t="s">
        <v>65</v>
      </c>
      <c r="F44" t="str">
        <f t="shared" si="0"/>
        <v>PI-PAB-E001</v>
      </c>
      <c r="G44">
        <f t="shared" si="1"/>
        <v>0.5</v>
      </c>
      <c r="H44" t="str">
        <f>_xlfn.XLOOKUP($E44,Planilha1!$A:$A,Planilha1!B:B)</f>
        <v>-2.915733819985718</v>
      </c>
      <c r="I44" t="str">
        <f>_xlfn.XLOOKUP($E44,Planilha1!$A:$A,Planilha1!C:C)</f>
        <v>-41.75232117712896</v>
      </c>
    </row>
    <row r="45" spans="1:9" x14ac:dyDescent="0.3">
      <c r="A45" t="s">
        <v>78</v>
      </c>
      <c r="B45" t="s">
        <v>37</v>
      </c>
      <c r="C45" t="s">
        <v>7</v>
      </c>
      <c r="D45" t="s">
        <v>64</v>
      </c>
      <c r="E45" t="s">
        <v>65</v>
      </c>
      <c r="F45" t="str">
        <f t="shared" si="0"/>
        <v>PI-PAB-E001</v>
      </c>
      <c r="G45">
        <f t="shared" si="1"/>
        <v>0.5</v>
      </c>
      <c r="H45" t="str">
        <f>_xlfn.XLOOKUP($E45,Planilha1!$A:$A,Planilha1!B:B)</f>
        <v>-2.915733819985718</v>
      </c>
      <c r="I45" t="str">
        <f>_xlfn.XLOOKUP($E45,Planilha1!$A:$A,Planilha1!C:C)</f>
        <v>-41.75232117712896</v>
      </c>
    </row>
    <row r="46" spans="1:9" x14ac:dyDescent="0.3">
      <c r="A46" t="s">
        <v>79</v>
      </c>
      <c r="B46" t="s">
        <v>26</v>
      </c>
      <c r="C46" t="s">
        <v>27</v>
      </c>
      <c r="D46" t="s">
        <v>64</v>
      </c>
      <c r="E46" t="s">
        <v>65</v>
      </c>
      <c r="F46" t="str">
        <f t="shared" si="0"/>
        <v>PI-PAB-C005</v>
      </c>
      <c r="G46">
        <f t="shared" si="1"/>
        <v>1</v>
      </c>
      <c r="H46" t="str">
        <f>_xlfn.XLOOKUP($E46,Planilha1!$A:$A,Planilha1!B:B)</f>
        <v>-2.915733819985718</v>
      </c>
      <c r="I46" t="str">
        <f>_xlfn.XLOOKUP($E46,Planilha1!$A:$A,Planilha1!C:C)</f>
        <v>-41.75232117712896</v>
      </c>
    </row>
    <row r="47" spans="1:9" x14ac:dyDescent="0.3">
      <c r="A47" t="s">
        <v>80</v>
      </c>
      <c r="B47" t="s">
        <v>26</v>
      </c>
      <c r="C47" t="s">
        <v>27</v>
      </c>
      <c r="D47" t="s">
        <v>64</v>
      </c>
      <c r="E47" t="s">
        <v>65</v>
      </c>
      <c r="F47" t="str">
        <f t="shared" si="0"/>
        <v>PI-PAB-C006</v>
      </c>
      <c r="G47">
        <f t="shared" si="1"/>
        <v>1</v>
      </c>
      <c r="H47" t="str">
        <f>_xlfn.XLOOKUP($E47,Planilha1!$A:$A,Planilha1!B:B)</f>
        <v>-2.915733819985718</v>
      </c>
      <c r="I47" t="str">
        <f>_xlfn.XLOOKUP($E47,Planilha1!$A:$A,Planilha1!C:C)</f>
        <v>-41.75232117712896</v>
      </c>
    </row>
    <row r="48" spans="1:9" x14ac:dyDescent="0.3">
      <c r="A48" t="s">
        <v>81</v>
      </c>
      <c r="B48" t="s">
        <v>26</v>
      </c>
      <c r="C48" t="s">
        <v>27</v>
      </c>
      <c r="D48" t="s">
        <v>64</v>
      </c>
      <c r="E48" t="s">
        <v>65</v>
      </c>
      <c r="F48" t="str">
        <f t="shared" si="0"/>
        <v>PI-PAB-C007</v>
      </c>
      <c r="G48">
        <f t="shared" si="1"/>
        <v>1</v>
      </c>
      <c r="H48" t="str">
        <f>_xlfn.XLOOKUP($E48,Planilha1!$A:$A,Planilha1!B:B)</f>
        <v>-2.915733819985718</v>
      </c>
      <c r="I48" t="str">
        <f>_xlfn.XLOOKUP($E48,Planilha1!$A:$A,Planilha1!C:C)</f>
        <v>-41.75232117712896</v>
      </c>
    </row>
    <row r="49" spans="1:9" x14ac:dyDescent="0.3">
      <c r="A49" t="s">
        <v>82</v>
      </c>
      <c r="B49" t="s">
        <v>26</v>
      </c>
      <c r="C49" t="s">
        <v>27</v>
      </c>
      <c r="D49" t="s">
        <v>64</v>
      </c>
      <c r="E49" t="s">
        <v>65</v>
      </c>
      <c r="F49" t="str">
        <f t="shared" si="0"/>
        <v>PI-PAB-C008</v>
      </c>
      <c r="G49">
        <f t="shared" si="1"/>
        <v>1</v>
      </c>
      <c r="H49" t="str">
        <f>_xlfn.XLOOKUP($E49,Planilha1!$A:$A,Planilha1!B:B)</f>
        <v>-2.915733819985718</v>
      </c>
      <c r="I49" t="str">
        <f>_xlfn.XLOOKUP($E49,Planilha1!$A:$A,Planilha1!C:C)</f>
        <v>-41.75232117712896</v>
      </c>
    </row>
    <row r="50" spans="1:9" x14ac:dyDescent="0.3">
      <c r="A50" t="s">
        <v>83</v>
      </c>
      <c r="B50" t="s">
        <v>26</v>
      </c>
      <c r="C50" t="s">
        <v>27</v>
      </c>
      <c r="D50" t="s">
        <v>64</v>
      </c>
      <c r="E50" t="s">
        <v>65</v>
      </c>
      <c r="F50" t="str">
        <f t="shared" si="0"/>
        <v>PI-PAB-C003</v>
      </c>
      <c r="G50">
        <f t="shared" si="1"/>
        <v>1</v>
      </c>
      <c r="H50" t="str">
        <f>_xlfn.XLOOKUP($E50,Planilha1!$A:$A,Planilha1!B:B)</f>
        <v>-2.915733819985718</v>
      </c>
      <c r="I50" t="str">
        <f>_xlfn.XLOOKUP($E50,Planilha1!$A:$A,Planilha1!C:C)</f>
        <v>-41.75232117712896</v>
      </c>
    </row>
    <row r="51" spans="1:9" x14ac:dyDescent="0.3">
      <c r="A51" t="s">
        <v>84</v>
      </c>
      <c r="B51" t="s">
        <v>13</v>
      </c>
      <c r="C51" t="s">
        <v>14</v>
      </c>
      <c r="D51" t="s">
        <v>64</v>
      </c>
      <c r="E51" t="s">
        <v>65</v>
      </c>
      <c r="F51" t="str">
        <f t="shared" si="0"/>
        <v>PI-PAB-L001</v>
      </c>
      <c r="G51">
        <f t="shared" si="1"/>
        <v>1</v>
      </c>
      <c r="H51" t="str">
        <f>_xlfn.XLOOKUP($E51,Planilha1!$A:$A,Planilha1!B:B)</f>
        <v>-2.915733819985718</v>
      </c>
      <c r="I51" t="str">
        <f>_xlfn.XLOOKUP($E51,Planilha1!$A:$A,Planilha1!C:C)</f>
        <v>-41.75232117712896</v>
      </c>
    </row>
    <row r="52" spans="1:9" x14ac:dyDescent="0.3">
      <c r="A52" t="s">
        <v>85</v>
      </c>
      <c r="B52" t="s">
        <v>13</v>
      </c>
      <c r="C52" t="s">
        <v>14</v>
      </c>
      <c r="D52" t="s">
        <v>64</v>
      </c>
      <c r="E52" t="s">
        <v>65</v>
      </c>
      <c r="F52" t="str">
        <f t="shared" si="0"/>
        <v>PI-PAB-L002</v>
      </c>
      <c r="G52">
        <f t="shared" si="1"/>
        <v>1</v>
      </c>
      <c r="H52" t="str">
        <f>_xlfn.XLOOKUP($E52,Planilha1!$A:$A,Planilha1!B:B)</f>
        <v>-2.915733819985718</v>
      </c>
      <c r="I52" t="str">
        <f>_xlfn.XLOOKUP($E52,Planilha1!$A:$A,Planilha1!C:C)</f>
        <v>-41.75232117712896</v>
      </c>
    </row>
    <row r="53" spans="1:9" x14ac:dyDescent="0.3">
      <c r="A53" t="s">
        <v>86</v>
      </c>
      <c r="B53" t="s">
        <v>11</v>
      </c>
      <c r="C53" t="s">
        <v>7</v>
      </c>
      <c r="D53" t="s">
        <v>87</v>
      </c>
      <c r="E53" t="s">
        <v>88</v>
      </c>
      <c r="F53" t="str">
        <f t="shared" si="0"/>
        <v>PI-PCA-E002</v>
      </c>
      <c r="G53">
        <f t="shared" si="1"/>
        <v>1</v>
      </c>
      <c r="H53" t="str">
        <f>_xlfn.XLOOKUP($E53,Planilha1!$A:$A,Planilha1!B:B)</f>
        <v>-3.930814475607244</v>
      </c>
      <c r="I53" t="str">
        <f>_xlfn.XLOOKUP($E53,Planilha1!$A:$A,Planilha1!C:C)</f>
        <v>-41.708448036799226</v>
      </c>
    </row>
    <row r="54" spans="1:9" x14ac:dyDescent="0.3">
      <c r="A54" t="s">
        <v>89</v>
      </c>
      <c r="B54" t="s">
        <v>6</v>
      </c>
      <c r="C54" t="s">
        <v>7</v>
      </c>
      <c r="D54" t="s">
        <v>87</v>
      </c>
      <c r="E54" t="s">
        <v>88</v>
      </c>
      <c r="F54" t="str">
        <f t="shared" si="0"/>
        <v>PI-PCA-E001</v>
      </c>
      <c r="G54">
        <f t="shared" si="1"/>
        <v>1</v>
      </c>
      <c r="H54" t="str">
        <f>_xlfn.XLOOKUP($E54,Planilha1!$A:$A,Planilha1!B:B)</f>
        <v>-3.930814475607244</v>
      </c>
      <c r="I54" t="str">
        <f>_xlfn.XLOOKUP($E54,Planilha1!$A:$A,Planilha1!C:C)</f>
        <v>-41.708448036799226</v>
      </c>
    </row>
    <row r="55" spans="1:9" x14ac:dyDescent="0.3">
      <c r="A55" t="s">
        <v>90</v>
      </c>
      <c r="B55" t="s">
        <v>13</v>
      </c>
      <c r="C55" t="s">
        <v>14</v>
      </c>
      <c r="D55" t="s">
        <v>87</v>
      </c>
      <c r="E55" t="s">
        <v>88</v>
      </c>
      <c r="F55" t="str">
        <f t="shared" si="0"/>
        <v>PI-PCA-L001</v>
      </c>
      <c r="G55">
        <f t="shared" si="1"/>
        <v>1</v>
      </c>
      <c r="H55" t="str">
        <f>_xlfn.XLOOKUP($E55,Planilha1!$A:$A,Planilha1!B:B)</f>
        <v>-3.930814475607244</v>
      </c>
      <c r="I55" t="str">
        <f>_xlfn.XLOOKUP($E55,Planilha1!$A:$A,Planilha1!C:C)</f>
        <v>-41.708448036799226</v>
      </c>
    </row>
    <row r="56" spans="1:9" x14ac:dyDescent="0.3">
      <c r="A56" t="s">
        <v>91</v>
      </c>
      <c r="B56" t="s">
        <v>6</v>
      </c>
      <c r="C56" t="s">
        <v>7</v>
      </c>
      <c r="D56" t="s">
        <v>92</v>
      </c>
      <c r="E56" t="s">
        <v>93</v>
      </c>
      <c r="F56" t="str">
        <f t="shared" si="0"/>
        <v>PI-PDS-E001</v>
      </c>
      <c r="G56">
        <f t="shared" si="1"/>
        <v>1</v>
      </c>
      <c r="H56" t="str">
        <f>_xlfn.XLOOKUP($E56,Planilha1!$A:$A,Planilha1!B:B)</f>
        <v>-4.429687854297294</v>
      </c>
      <c r="I56" t="str">
        <f>_xlfn.XLOOKUP($E56,Planilha1!$A:$A,Planilha1!C:C)</f>
        <v>-41.45703883542527</v>
      </c>
    </row>
    <row r="57" spans="1:9" x14ac:dyDescent="0.3">
      <c r="A57" t="s">
        <v>94</v>
      </c>
      <c r="B57" t="s">
        <v>11</v>
      </c>
      <c r="C57" t="s">
        <v>7</v>
      </c>
      <c r="D57" t="s">
        <v>92</v>
      </c>
      <c r="E57" t="s">
        <v>93</v>
      </c>
      <c r="F57" t="str">
        <f t="shared" si="0"/>
        <v>PI-PDS-E002</v>
      </c>
      <c r="G57">
        <f t="shared" si="1"/>
        <v>1</v>
      </c>
      <c r="H57" t="str">
        <f>_xlfn.XLOOKUP($E57,Planilha1!$A:$A,Planilha1!B:B)</f>
        <v>-4.429687854297294</v>
      </c>
      <c r="I57" t="str">
        <f>_xlfn.XLOOKUP($E57,Planilha1!$A:$A,Planilha1!C:C)</f>
        <v>-41.45703883542527</v>
      </c>
    </row>
    <row r="58" spans="1:9" x14ac:dyDescent="0.3">
      <c r="A58" t="s">
        <v>95</v>
      </c>
      <c r="B58" t="s">
        <v>13</v>
      </c>
      <c r="C58" t="s">
        <v>14</v>
      </c>
      <c r="D58" t="s">
        <v>92</v>
      </c>
      <c r="E58" t="s">
        <v>93</v>
      </c>
      <c r="F58" t="str">
        <f t="shared" si="0"/>
        <v>PI-PDS-L001</v>
      </c>
      <c r="G58">
        <f t="shared" si="1"/>
        <v>1</v>
      </c>
      <c r="H58" t="str">
        <f>_xlfn.XLOOKUP($E58,Planilha1!$A:$A,Planilha1!B:B)</f>
        <v>-4.429687854297294</v>
      </c>
      <c r="I58" t="str">
        <f>_xlfn.XLOOKUP($E58,Planilha1!$A:$A,Planilha1!C:C)</f>
        <v>-41.45703883542527</v>
      </c>
    </row>
    <row r="59" spans="1:9" x14ac:dyDescent="0.3">
      <c r="A59" t="s">
        <v>96</v>
      </c>
      <c r="B59" t="s">
        <v>13</v>
      </c>
      <c r="C59" t="s">
        <v>14</v>
      </c>
      <c r="D59" t="s">
        <v>97</v>
      </c>
      <c r="E59" t="s">
        <v>98</v>
      </c>
      <c r="F59" t="str">
        <f t="shared" si="0"/>
        <v>PI-PRI-L001</v>
      </c>
      <c r="G59">
        <f t="shared" si="1"/>
        <v>1</v>
      </c>
      <c r="H59" t="str">
        <f>_xlfn.XLOOKUP($E59,Planilha1!$A:$A,Planilha1!B:B)</f>
        <v>-4.275117630575174</v>
      </c>
      <c r="I59" t="str">
        <f>_xlfn.XLOOKUP($E59,Planilha1!$A:$A,Planilha1!C:C)</f>
        <v>-41.77943433669102</v>
      </c>
    </row>
    <row r="60" spans="1:9" x14ac:dyDescent="0.3">
      <c r="A60" t="s">
        <v>99</v>
      </c>
      <c r="B60" t="s">
        <v>26</v>
      </c>
      <c r="C60" t="s">
        <v>27</v>
      </c>
      <c r="D60" t="s">
        <v>97</v>
      </c>
      <c r="E60" t="s">
        <v>98</v>
      </c>
      <c r="F60" t="str">
        <f t="shared" si="0"/>
        <v>PI-PRI-C002</v>
      </c>
      <c r="G60">
        <f t="shared" si="1"/>
        <v>1</v>
      </c>
      <c r="H60" t="str">
        <f>_xlfn.XLOOKUP($E60,Planilha1!$A:$A,Planilha1!B:B)</f>
        <v>-4.275117630575174</v>
      </c>
      <c r="I60" t="str">
        <f>_xlfn.XLOOKUP($E60,Planilha1!$A:$A,Planilha1!C:C)</f>
        <v>-41.77943433669102</v>
      </c>
    </row>
    <row r="61" spans="1:9" x14ac:dyDescent="0.3">
      <c r="A61" t="s">
        <v>100</v>
      </c>
      <c r="B61" t="s">
        <v>26</v>
      </c>
      <c r="C61" t="s">
        <v>27</v>
      </c>
      <c r="D61" t="s">
        <v>97</v>
      </c>
      <c r="E61" t="s">
        <v>98</v>
      </c>
      <c r="F61" t="str">
        <f t="shared" si="0"/>
        <v>PI-PRI-C003</v>
      </c>
      <c r="G61">
        <f t="shared" si="1"/>
        <v>1</v>
      </c>
      <c r="H61" t="str">
        <f>_xlfn.XLOOKUP($E61,Planilha1!$A:$A,Planilha1!B:B)</f>
        <v>-4.275117630575174</v>
      </c>
      <c r="I61" t="str">
        <f>_xlfn.XLOOKUP($E61,Planilha1!$A:$A,Planilha1!C:C)</f>
        <v>-41.77943433669102</v>
      </c>
    </row>
    <row r="62" spans="1:9" x14ac:dyDescent="0.3">
      <c r="A62" t="s">
        <v>101</v>
      </c>
      <c r="B62" t="s">
        <v>18</v>
      </c>
      <c r="C62" t="s">
        <v>7</v>
      </c>
      <c r="D62" t="s">
        <v>97</v>
      </c>
      <c r="E62" t="s">
        <v>98</v>
      </c>
      <c r="F62" t="str">
        <f t="shared" si="0"/>
        <v>PI-PRI-E001</v>
      </c>
      <c r="G62">
        <f t="shared" si="1"/>
        <v>0.5</v>
      </c>
      <c r="H62" t="str">
        <f>_xlfn.XLOOKUP($E62,Planilha1!$A:$A,Planilha1!B:B)</f>
        <v>-4.275117630575174</v>
      </c>
      <c r="I62" t="str">
        <f>_xlfn.XLOOKUP($E62,Planilha1!$A:$A,Planilha1!C:C)</f>
        <v>-41.77943433669102</v>
      </c>
    </row>
    <row r="63" spans="1:9" x14ac:dyDescent="0.3">
      <c r="A63" t="s">
        <v>102</v>
      </c>
      <c r="B63" t="s">
        <v>18</v>
      </c>
      <c r="C63" t="s">
        <v>7</v>
      </c>
      <c r="D63" t="s">
        <v>97</v>
      </c>
      <c r="E63" t="s">
        <v>98</v>
      </c>
      <c r="F63" t="str">
        <f t="shared" si="0"/>
        <v>PI-PRI-E001</v>
      </c>
      <c r="G63">
        <f t="shared" si="1"/>
        <v>0.5</v>
      </c>
      <c r="H63" t="str">
        <f>_xlfn.XLOOKUP($E63,Planilha1!$A:$A,Planilha1!B:B)</f>
        <v>-4.275117630575174</v>
      </c>
      <c r="I63" t="str">
        <f>_xlfn.XLOOKUP($E63,Planilha1!$A:$A,Planilha1!C:C)</f>
        <v>-41.77943433669102</v>
      </c>
    </row>
    <row r="64" spans="1:9" x14ac:dyDescent="0.3">
      <c r="A64" t="s">
        <v>103</v>
      </c>
      <c r="B64" t="s">
        <v>37</v>
      </c>
      <c r="C64" t="s">
        <v>7</v>
      </c>
      <c r="D64" t="s">
        <v>97</v>
      </c>
      <c r="E64" t="s">
        <v>98</v>
      </c>
      <c r="F64" t="str">
        <f t="shared" si="0"/>
        <v>PI-PRI-E002</v>
      </c>
      <c r="G64">
        <f t="shared" si="1"/>
        <v>0.5</v>
      </c>
      <c r="H64" t="str">
        <f>_xlfn.XLOOKUP($E64,Planilha1!$A:$A,Planilha1!B:B)</f>
        <v>-4.275117630575174</v>
      </c>
      <c r="I64" t="str">
        <f>_xlfn.XLOOKUP($E64,Planilha1!$A:$A,Planilha1!C:C)</f>
        <v>-41.77943433669102</v>
      </c>
    </row>
    <row r="65" spans="1:9" x14ac:dyDescent="0.3">
      <c r="A65" t="s">
        <v>104</v>
      </c>
      <c r="B65" t="s">
        <v>37</v>
      </c>
      <c r="C65" t="s">
        <v>7</v>
      </c>
      <c r="D65" t="s">
        <v>97</v>
      </c>
      <c r="E65" t="s">
        <v>98</v>
      </c>
      <c r="F65" t="str">
        <f t="shared" si="0"/>
        <v>PI-PRI-E002</v>
      </c>
      <c r="G65">
        <f t="shared" si="1"/>
        <v>0.5</v>
      </c>
      <c r="H65" t="str">
        <f>_xlfn.XLOOKUP($E65,Planilha1!$A:$A,Planilha1!B:B)</f>
        <v>-4.275117630575174</v>
      </c>
      <c r="I65" t="str">
        <f>_xlfn.XLOOKUP($E65,Planilha1!$A:$A,Planilha1!C:C)</f>
        <v>-41.77943433669102</v>
      </c>
    </row>
    <row r="66" spans="1:9" x14ac:dyDescent="0.3">
      <c r="A66" t="s">
        <v>105</v>
      </c>
      <c r="B66" t="s">
        <v>11</v>
      </c>
      <c r="C66" t="s">
        <v>7</v>
      </c>
      <c r="D66" t="s">
        <v>97</v>
      </c>
      <c r="E66" t="s">
        <v>98</v>
      </c>
      <c r="F66" t="str">
        <f t="shared" si="0"/>
        <v>PI-PRI-E003</v>
      </c>
      <c r="G66">
        <f t="shared" si="1"/>
        <v>1</v>
      </c>
      <c r="H66" t="str">
        <f>_xlfn.XLOOKUP($E66,Planilha1!$A:$A,Planilha1!B:B)</f>
        <v>-4.275117630575174</v>
      </c>
      <c r="I66" t="str">
        <f>_xlfn.XLOOKUP($E66,Planilha1!$A:$A,Planilha1!C:C)</f>
        <v>-41.77943433669102</v>
      </c>
    </row>
    <row r="67" spans="1:9" x14ac:dyDescent="0.3">
      <c r="A67" t="s">
        <v>106</v>
      </c>
      <c r="B67" t="s">
        <v>11</v>
      </c>
      <c r="C67" t="s">
        <v>7</v>
      </c>
      <c r="D67" t="s">
        <v>97</v>
      </c>
      <c r="E67" t="s">
        <v>98</v>
      </c>
      <c r="F67" t="str">
        <f t="shared" ref="F67:F70" si="2">LEFT(A67,11)</f>
        <v>PI-PRI-E004</v>
      </c>
      <c r="G67">
        <f t="shared" ref="G67:G70" si="3">1/COUNTIFS(F:F,F67)</f>
        <v>1</v>
      </c>
      <c r="H67" t="str">
        <f>_xlfn.XLOOKUP($E67,Planilha1!$A:$A,Planilha1!B:B)</f>
        <v>-4.275117630575174</v>
      </c>
      <c r="I67" t="str">
        <f>_xlfn.XLOOKUP($E67,Planilha1!$A:$A,Planilha1!C:C)</f>
        <v>-41.77943433669102</v>
      </c>
    </row>
    <row r="68" spans="1:9" x14ac:dyDescent="0.3">
      <c r="A68" t="s">
        <v>107</v>
      </c>
      <c r="B68" t="s">
        <v>35</v>
      </c>
      <c r="C68" t="s">
        <v>27</v>
      </c>
      <c r="D68" t="s">
        <v>97</v>
      </c>
      <c r="E68" t="s">
        <v>98</v>
      </c>
      <c r="F68" t="str">
        <f t="shared" si="2"/>
        <v>PI-PRI-C001</v>
      </c>
      <c r="G68">
        <f t="shared" si="3"/>
        <v>1</v>
      </c>
      <c r="H68" t="str">
        <f>_xlfn.XLOOKUP($E68,Planilha1!$A:$A,Planilha1!B:B)</f>
        <v>-4.275117630575174</v>
      </c>
      <c r="I68" t="str">
        <f>_xlfn.XLOOKUP($E68,Planilha1!$A:$A,Planilha1!C:C)</f>
        <v>-41.77943433669102</v>
      </c>
    </row>
    <row r="69" spans="1:9" x14ac:dyDescent="0.3">
      <c r="A69" t="s">
        <v>108</v>
      </c>
      <c r="B69" t="s">
        <v>18</v>
      </c>
      <c r="C69" t="s">
        <v>7</v>
      </c>
      <c r="D69" t="s">
        <v>109</v>
      </c>
      <c r="E69" t="s">
        <v>110</v>
      </c>
      <c r="F69" t="str">
        <f t="shared" si="2"/>
        <v>PI-PTO-E001</v>
      </c>
      <c r="G69">
        <f t="shared" si="3"/>
        <v>0.5</v>
      </c>
      <c r="H69" t="str">
        <f>_xlfn.XLOOKUP($E69,Planilha1!$A:$A,Planilha1!B:B)</f>
        <v>-3.892779895826809</v>
      </c>
      <c r="I69" t="str">
        <f>_xlfn.XLOOKUP($E69,Planilha1!$A:$A,Planilha1!C:C)</f>
        <v>-42.713215750972346</v>
      </c>
    </row>
    <row r="70" spans="1:9" x14ac:dyDescent="0.3">
      <c r="A70" t="s">
        <v>111</v>
      </c>
      <c r="B70" t="s">
        <v>18</v>
      </c>
      <c r="C70" t="s">
        <v>7</v>
      </c>
      <c r="D70" t="s">
        <v>109</v>
      </c>
      <c r="E70" t="s">
        <v>110</v>
      </c>
      <c r="F70" t="str">
        <f t="shared" si="2"/>
        <v>PI-PTO-E001</v>
      </c>
      <c r="G70">
        <f t="shared" si="3"/>
        <v>0.5</v>
      </c>
      <c r="H70" t="str">
        <f>_xlfn.XLOOKUP($E70,Planilha1!$A:$A,Planilha1!B:B)</f>
        <v>-3.892779895826809</v>
      </c>
      <c r="I70" t="str">
        <f>_xlfn.XLOOKUP($E70,Planilha1!$A:$A,Planilha1!C:C)</f>
        <v>-42.713215750972346</v>
      </c>
    </row>
  </sheetData>
  <autoFilter ref="A1:E70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11FA-34AB-42AF-AEDE-B564D04E2AD2}">
  <dimension ref="A1:C14"/>
  <sheetViews>
    <sheetView zoomScale="220" zoomScaleNormal="220" workbookViewId="0">
      <selection activeCell="B4" sqref="B4"/>
    </sheetView>
  </sheetViews>
  <sheetFormatPr defaultRowHeight="14.4" x14ac:dyDescent="0.3"/>
  <cols>
    <col min="2" max="2" width="20.6640625" bestFit="1" customWidth="1"/>
  </cols>
  <sheetData>
    <row r="1" spans="1:3" x14ac:dyDescent="0.3">
      <c r="A1" t="s">
        <v>4</v>
      </c>
      <c r="B1" s="1" t="s">
        <v>112</v>
      </c>
      <c r="C1" s="1" t="s">
        <v>113</v>
      </c>
    </row>
    <row r="2" spans="1:3" x14ac:dyDescent="0.3">
      <c r="A2" t="s">
        <v>9</v>
      </c>
      <c r="B2" s="3" t="s">
        <v>115</v>
      </c>
      <c r="C2" s="2" t="s">
        <v>114</v>
      </c>
    </row>
    <row r="3" spans="1:3" x14ac:dyDescent="0.3">
      <c r="A3" s="1" t="s">
        <v>16</v>
      </c>
      <c r="B3" s="3" t="s">
        <v>139</v>
      </c>
      <c r="C3" s="3" t="s">
        <v>138</v>
      </c>
    </row>
    <row r="4" spans="1:3" x14ac:dyDescent="0.3">
      <c r="A4" t="s">
        <v>22</v>
      </c>
      <c r="B4" s="3" t="s">
        <v>117</v>
      </c>
      <c r="C4" s="3" t="s">
        <v>116</v>
      </c>
    </row>
    <row r="5" spans="1:3" x14ac:dyDescent="0.3">
      <c r="A5" t="s">
        <v>29</v>
      </c>
      <c r="B5" s="3" t="s">
        <v>119</v>
      </c>
      <c r="C5" s="2" t="s">
        <v>118</v>
      </c>
    </row>
    <row r="6" spans="1:3" x14ac:dyDescent="0.3">
      <c r="A6" s="1" t="s">
        <v>42</v>
      </c>
      <c r="B6" s="3" t="s">
        <v>121</v>
      </c>
      <c r="C6" s="2" t="s">
        <v>120</v>
      </c>
    </row>
    <row r="7" spans="1:3" x14ac:dyDescent="0.3">
      <c r="A7" t="s">
        <v>45</v>
      </c>
      <c r="B7" s="3" t="s">
        <v>123</v>
      </c>
      <c r="C7" s="2" t="s">
        <v>122</v>
      </c>
    </row>
    <row r="8" spans="1:3" x14ac:dyDescent="0.3">
      <c r="A8" s="1" t="s">
        <v>55</v>
      </c>
      <c r="B8" s="3" t="s">
        <v>125</v>
      </c>
      <c r="C8" s="2" t="s">
        <v>124</v>
      </c>
    </row>
    <row r="9" spans="1:3" x14ac:dyDescent="0.3">
      <c r="A9" s="1" t="s">
        <v>61</v>
      </c>
      <c r="B9" s="3" t="s">
        <v>127</v>
      </c>
      <c r="C9" s="2" t="s">
        <v>126</v>
      </c>
    </row>
    <row r="10" spans="1:3" x14ac:dyDescent="0.3">
      <c r="A10" s="1" t="s">
        <v>65</v>
      </c>
      <c r="B10" s="3" t="s">
        <v>129</v>
      </c>
      <c r="C10" s="2" t="s">
        <v>128</v>
      </c>
    </row>
    <row r="11" spans="1:3" x14ac:dyDescent="0.3">
      <c r="A11" t="s">
        <v>88</v>
      </c>
      <c r="B11" s="3" t="s">
        <v>131</v>
      </c>
      <c r="C11" s="2" t="s">
        <v>130</v>
      </c>
    </row>
    <row r="12" spans="1:3" x14ac:dyDescent="0.3">
      <c r="A12" s="1" t="s">
        <v>93</v>
      </c>
      <c r="B12" s="3" t="s">
        <v>133</v>
      </c>
      <c r="C12" s="2" t="s">
        <v>132</v>
      </c>
    </row>
    <row r="13" spans="1:3" x14ac:dyDescent="0.3">
      <c r="A13" t="s">
        <v>98</v>
      </c>
      <c r="B13" s="3" t="s">
        <v>135</v>
      </c>
      <c r="C13" s="2" t="s">
        <v>134</v>
      </c>
    </row>
    <row r="14" spans="1:3" x14ac:dyDescent="0.3">
      <c r="A14" t="s">
        <v>110</v>
      </c>
      <c r="B14" s="3" t="s">
        <v>137</v>
      </c>
      <c r="C14" s="2" t="s">
        <v>136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Filho</dc:creator>
  <cp:lastModifiedBy>Márcio Mendonça Santos Filho</cp:lastModifiedBy>
  <dcterms:created xsi:type="dcterms:W3CDTF">2026-03-13T14:33:57Z</dcterms:created>
  <dcterms:modified xsi:type="dcterms:W3CDTF">2026-03-13T14:45:23Z</dcterms:modified>
</cp:coreProperties>
</file>